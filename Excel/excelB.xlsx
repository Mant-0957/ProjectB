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T_0957\Downloads\"/>
    </mc:Choice>
  </mc:AlternateContent>
  <xr:revisionPtr revIDLastSave="0" documentId="13_ncr:9_{22CC8E01-FDB3-4EF0-A0BA-EC26063BC3F2}" xr6:coauthVersionLast="47" xr6:coauthVersionMax="47" xr10:uidLastSave="{00000000-0000-0000-0000-000000000000}"/>
  <bookViews>
    <workbookView xWindow="-110" yWindow="-110" windowWidth="19420" windowHeight="10300" activeTab="2" xr2:uid="{C3DF2DF6-B81D-469E-A198-CF96D40235E4}"/>
  </bookViews>
  <sheets>
    <sheet name="Sheet6" sheetId="7" r:id="rId1"/>
    <sheet name="Sheet7" sheetId="8" r:id="rId2"/>
    <sheet name="datasetB" sheetId="1" r:id="rId3"/>
    <sheet name="Sheet1" sheetId="2" r:id="rId4"/>
  </sheets>
  <definedNames>
    <definedName name="_xlcn.WorksheetConnection_datasetB.csvTable11" hidden="1">Table1[]</definedName>
    <definedName name="_xlcn.WorksheetConnection_datasetB.csvTable151" hidden="1">Table15</definedName>
    <definedName name="_xlcn.WorksheetConnection_datasetB.csvTable31" hidden="1">Table3[]</definedName>
    <definedName name="_xlcn.WorksheetConnection_datasetB.csvTable361" hidden="1">Table36</definedName>
  </definedNames>
  <calcPr calcId="0"/>
  <pivotCaches>
    <pivotCache cacheId="98" r:id="rId5"/>
    <pivotCache cacheId="118" r:id="rId6"/>
  </pivotCaches>
  <extLst>
    <ext xmlns:x15="http://schemas.microsoft.com/office/spreadsheetml/2010/11/main" uri="{FCE2AD5D-F65C-4FA6-A056-5C36A1767C68}">
      <x15:dataModel>
        <x15:modelTables>
          <x15:modelTable id="Table36" name="Table36" connection="WorksheetConnection_datasetB.csv!Table36"/>
          <x15:modelTable id="Table15" name="Table15" connection="WorksheetConnection_datasetB.csv!Table15"/>
          <x15:modelTable id="Table1" name="Table1" connection="WorksheetConnection_datasetB.csv!Table1"/>
          <x15:modelTable id="Table3" name="Table3" connection="WorksheetConnection_datasetB.csv!Table3"/>
        </x15:modelTables>
        <x15:modelRelationships>
          <x15:modelRelationship fromTable="Table15" fromColumn="team_id" toTable="Table36" toColumn="team_id"/>
          <x15:modelRelationship fromTable="Table1" fromColumn="team_id" toTable="Table3" toColumn="team_id"/>
        </x15:modelRelationships>
      </x15:dataModel>
    </ext>
  </extLst>
</workbook>
</file>

<file path=xl/calcChain.xml><?xml version="1.0" encoding="utf-8"?>
<calcChain xmlns="http://schemas.openxmlformats.org/spreadsheetml/2006/main">
  <c r="C2" i="2" l="1" a="1"/>
  <c r="C2" i="2" s="1"/>
  <c r="H2" i="2" a="1"/>
  <c r="H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32B08-C278-4053-AAE6-3486CEF48A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8242C8-FA18-4355-BFE2-C81F5C09F031}" name="WorksheetConnection_datasetB.csv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setB.csvTable11"/>
        </x15:connection>
      </ext>
    </extLst>
  </connection>
  <connection id="3" xr16:uid="{001229EF-6B21-4DC2-B5E9-796FF94D5181}" name="WorksheetConnection_datasetB.csv!Table15" type="102" refreshedVersion="8" minRefreshableVersion="5">
    <extLst>
      <ext xmlns:x15="http://schemas.microsoft.com/office/spreadsheetml/2010/11/main" uri="{DE250136-89BD-433C-8126-D09CA5730AF9}">
        <x15:connection id="Table15">
          <x15:rangePr sourceName="_xlcn.WorksheetConnection_datasetB.csvTable151"/>
        </x15:connection>
      </ext>
    </extLst>
  </connection>
  <connection id="4" xr16:uid="{42DA913F-4368-4FAD-97D1-11F23AEFD9A5}" name="WorksheetConnection_datasetB.csv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setB.csvTable31"/>
        </x15:connection>
      </ext>
    </extLst>
  </connection>
  <connection id="5" xr16:uid="{3C6B3777-4D4A-4D3B-9A84-2F17493DFD39}" name="WorksheetConnection_datasetB.csv!Table36" type="102" refreshedVersion="8" minRefreshableVersion="5">
    <extLst>
      <ext xmlns:x15="http://schemas.microsoft.com/office/spreadsheetml/2010/11/main" uri="{DE250136-89BD-433C-8126-D09CA5730AF9}">
        <x15:connection id="Table36" autoDelete="1">
          <x15:rangePr sourceName="_xlcn.WorksheetConnection_datasetB.csvTable36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<sst xmlns="http://schemas.openxmlformats.org/spreadsheetml/2006/main" count="102" uniqueCount="31">
  <si>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</si>
  <si>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</si>
  <si>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</si>
  <si>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</si>
  <si>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</si>
  <si>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</si>
  <si>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</si>
  <si>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</si>
  <si>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</si>
  <si>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</si>
  <si>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</si>
  <si>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</si>
  <si>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</si>
  <si>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</si>
  <si>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</si>
  <si>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</si>
  <si>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</si>
  <si>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</si>
  <si>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</si>
  <si>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</si>
  <si>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</si>
  <si>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</si>
  <si>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</si>
  <si>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</si>
  <si>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breach_flag</t>
  </si>
  <si>
    <t>#E2</t>
  </si>
  <si>
    <t>Row Labels</t>
  </si>
  <si>
    <t>Grand Total</t>
  </si>
  <si>
    <t>Sum of resolution_hours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</si>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</sst>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0" xfId="0" applyBorder="1"/>
    <xf numFmtId="0" fontId="0" fillId="0" borderId="10" xfId="0" applyBorder="1"/>
    <xf numFmtId="0" fontId="0" fillId="34" borderId="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[excelB.xlsx]Sheet7!PivotTable23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resolution_hours by team_id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4"/>
                <c:pt idx="0">
                  <c:v>36</c:v>
                </c:pt>
                <c:pt idx="1">
                  <c:v>80</c:v>
                </c:pt>
                <c:pt idx="2">
                  <c:v>86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E-4049-8B3C-95005C6E2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712479"/>
        <c:axId val="1112324079"/>
      </c:barChart>
      <c:catAx>
        <c:axId val="100471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24079"/>
        <c:crosses val="autoZero"/>
        <c:auto val="1"/>
        <c:lblAlgn val="ctr"/>
        <c:lblOffset val="100"/>
        <c:noMultiLvlLbl val="0"/>
      </c:catAx>
      <c:valAx>
        <c:axId val="11123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[excelB.xlsx]Sheet7!PivotTable23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resolution_hours by team_id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4"/>
                <c:pt idx="0">
                  <c:v>36</c:v>
                </c:pt>
                <c:pt idx="1">
                  <c:v>80</c:v>
                </c:pt>
                <c:pt idx="2">
                  <c:v>86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5-48EF-91D6-046A978287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4712479"/>
        <c:axId val="1112324079"/>
      </c:barChart>
      <c:catAx>
        <c:axId val="100471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Team_id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24079"/>
        <c:crosses val="autoZero"/>
        <c:auto val="1"/>
        <c:lblAlgn val="ctr"/>
        <c:lblOffset val="100"/>
        <c:noMultiLvlLbl val="0"/>
      </c:catAx>
      <c:valAx>
        <c:axId val="11123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Resolution_hours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1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6350</xdr:rowOff>
    </xdr:from>
    <xdr:to>
      <xdr:col>10</xdr:col>
      <xdr:colOff>603250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0624B-136A-448C-AD66-C608E53DD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6350</xdr:rowOff>
    </xdr:from>
    <xdr:to>
      <xdr:col>16</xdr:col>
      <xdr:colOff>520700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554D7-BAE8-46D2-9CA2-BA6483031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T_0957" refreshedDate="46291.628492939817" backgroundQuery="1" createdVersion="8" refreshedVersion="8" minRefreshableVersion="3" recordCount="0" supportSubquery="1" supportAdvancedDrill="1" xr:uid="{4B3AD441-34A2-4B07-A7AB-DED1F2F94A9A}">
  <cacheSource type="external" connectionId="1"/>
  <cacheFields count="3">
    <cacheField name="[Table3].[department].[department]" caption="department" numFmtId="0" hierarchy="14" level="1">
      <sharedItems count="2">
        <s v="Service"/>
        <s v="Technical"/>
      </sharedItems>
    </cacheField>
    <cacheField name="[Table1].[month].[month]" caption="month" numFmtId="0" hierarchy="1" level="1">
      <sharedItems count="3">
        <s v="Feb"/>
        <s v="Jan"/>
        <s v="Mar"/>
      </sharedItems>
    </cacheField>
    <cacheField name="[Measures].[Average of resolution_hours 2]" caption="Average of resolution_hours 2" numFmtId="0" hierarchy="26" level="32767"/>
  </cacheFields>
  <cacheHierarchies count="28">
    <cacheHierarchy uniqueName="[Table1].[ticket_id]" caption="ticket_id" attribute="1" defaultMemberUniqueName="[Table1].[ticket_id].[All]" allUniqueName="[Table1].[ticket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eam_id]" caption="team_id" attribute="1" defaultMemberUniqueName="[Table1].[team_id].[All]" allUniqueName="[Table1].[team_i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2" memberValueDatatype="20" unbalanced="0"/>
    <cacheHierarchy uniqueName="[Table1].[satisfaction]" caption="satisfaction" attribute="1" defaultMemberUniqueName="[Table1].[satisfaction].[All]" allUniqueName="[Table1].[satisfaction].[All]" dimensionUniqueName="[Table1]" displayFolder="" count="0" memberValueDatatype="20" unbalanced="0"/>
    <cacheHierarchy uniqueName="[Table15].[ticket_id]" caption="ticket_id" attribute="1" defaultMemberUniqueName="[Table15].[ticket_id].[All]" allUniqueName="[Table15].[ticket_id].[All]" dimensionUniqueName="[Table15]" displayFolder="" count="0" memberValueDatatype="20" unbalanced="0"/>
    <cacheHierarchy uniqueName="[Table15].[month]" caption="month" attribute="1" defaultMemberUniqueName="[Table15].[month].[All]" allUniqueName="[Table15].[month].[All]" dimensionUniqueName="[Table15]" displayFolder="" count="0" memberValueDatatype="130" unbalanced="0"/>
    <cacheHierarchy uniqueName="[Table15].[team_id]" caption="team_id" attribute="1" defaultMemberUniqueName="[Table15].[team_id].[All]" allUniqueName="[Table15].[team_id].[All]" dimensionUniqueName="[Table15]" displayFolder="" count="0" memberValueDatatype="130" unbalanced="0"/>
    <cacheHierarchy uniqueName="[Table15].[channel]" caption="channel" attribute="1" defaultMemberUniqueName="[Table15].[channel].[All]" allUniqueName="[Table15].[channel].[All]" dimensionUniqueName="[Table15]" displayFolder="" count="0" memberValueDatatype="130" unbalanced="0"/>
    <cacheHierarchy uniqueName="[Table15].[resolution_hours]" caption="resolution_hours" attribute="1" defaultMemberUniqueName="[Table15].[resolution_hours].[All]" allUniqueName="[Table15].[resolution_hours].[All]" dimensionUniqueName="[Table15]" displayFolder="" count="0" memberValueDatatype="20" unbalanced="0"/>
    <cacheHierarchy uniqueName="[Table15].[satisfaction]" caption="satisfaction" attribute="1" defaultMemberUniqueName="[Table15].[satisfaction].[All]" allUniqueName="[Table15].[satisfaction].[All]" dimensionUniqueName="[Table15]" displayFolder="" count="0" memberValueDatatype="20" unbalanced="0"/>
    <cacheHierarchy uniqueName="[Table3].[team_id]" caption="team_id" attribute="1" defaultMemberUniqueName="[Table3].[team_id].[All]" allUniqueName="[Table3].[team_id].[All]" dimensionUniqueName="[Table3]" displayFolder="" count="0" memberValueDatatype="130" unbalanced="0"/>
    <cacheHierarchy uniqueName="[Table3].[team]" caption="team" attribute="1" defaultMemberUniqueName="[Table3].[team].[All]" allUniqueName="[Table3].[team].[All]" dimensionUniqueName="[Table3]" displayFolder="" count="0" memberValueDatatype="130" unbalanced="0"/>
    <cacheHierarchy uniqueName="[Table3].[department]" caption="department" attribute="1" defaultMemberUniqueName="[Table3].[department].[All]" allUniqueName="[Table3].[department].[All]" dimensionUniqueName="[Table3]" displayFolder="" count="2" memberValueDatatype="130" unbalanced="0">
      <fieldsUsage count="2">
        <fieldUsage x="-1"/>
        <fieldUsage x="0"/>
      </fieldsUsage>
    </cacheHierarchy>
    <cacheHierarchy uniqueName="[Table36].[team_id]" caption="team_id" attribute="1" defaultMemberUniqueName="[Table36].[team_id].[All]" allUniqueName="[Table36].[team_id].[All]" dimensionUniqueName="[Table36]" displayFolder="" count="0" memberValueDatatype="130" unbalanced="0"/>
    <cacheHierarchy uniqueName="[Table36].[team]" caption="team" attribute="1" defaultMemberUniqueName="[Table36].[team].[All]" allUniqueName="[Table36].[team].[All]" dimensionUniqueName="[Table36]" displayFolder="" count="0" memberValueDatatype="130" unbalanced="0"/>
    <cacheHierarchy uniqueName="[Table36].[department]" caption="department" attribute="1" defaultMemberUniqueName="[Table36].[department].[All]" allUniqueName="[Table36].[department].[All]" dimensionUniqueName="[Table36]" displayFolder="" count="0" memberValueDatatype="130" unbalanced="0"/>
    <cacheHierarchy uniqueName="[Measures].[__XL_Count Table36]" caption="__XL_Count Table36" measure="1" displayFolder="" measureGroup="Table36" count="0" hidden="1"/>
    <cacheHierarchy uniqueName="[Measures].[__XL_Count Table15]" caption="__XL_Count Table15" measure="1" displayFolder="" measureGroup="Table15" count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resolution_hours]" caption="Sum of resolution_hours" measure="1" displayFolder="" measureGroup="Table1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esolution_hours]" caption="Average of resolution_hours" measure="1" displayFolder="" measureGroup="Table1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solution_hours 2]" caption="Sum of resolution_hours 2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resolution_hours 2]" caption="Average of resolution_hours 2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5" uniqueName="[Table15]" caption="Table15"/>
    <dimension name="Table3" uniqueName="[Table3]" caption="Table3"/>
    <dimension name="Table36" uniqueName="[Table36]" caption="Table36"/>
  </dimensions>
  <measureGroups count="4">
    <measureGroup name="Table1" caption="Table1"/>
    <measureGroup name="Table15" caption="Table15"/>
    <measureGroup name="Table3" caption="Table3"/>
    <measureGroup name="Table36" caption="Table36"/>
  </measureGroups>
  <maps count="6">
    <map measureGroup="0" dimension="1"/>
    <map measureGroup="0" dimension="3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T_0957" refreshedDate="46291.629512962965" createdVersion="8" refreshedVersion="8" minRefreshableVersion="3" recordCount="12" xr:uid="{C9DBBB75-9A27-4C4E-A74F-2B1037F09A83}">
  <cacheSource type="worksheet">
    <worksheetSource name="Table1"/>
  </cacheSource>
  <cacheFields count="6">
    <cacheField name="ticket_id" numFmtId="0">
      <sharedItems containsSemiMixedTypes="0" containsString="0" containsNumber="1" containsInteger="1" minValue="1" maxValue="12"/>
    </cacheField>
    <cacheField name="month" numFmtId="0">
      <sharedItems/>
    </cacheField>
    <cacheField name="team_id" numFmtId="0">
      <sharedItems count="4">
        <s v="T1"/>
        <s v="T2"/>
        <s v="T3"/>
        <s v="T4"/>
      </sharedItems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Jan"/>
    <x v="0"/>
    <s v="Email"/>
    <n v="12"/>
    <n v="4"/>
  </r>
  <r>
    <n v="2"/>
    <s v="Jan"/>
    <x v="1"/>
    <s v="Chat"/>
    <n v="28"/>
    <n v="3"/>
  </r>
  <r>
    <n v="3"/>
    <s v="Jan"/>
    <x v="2"/>
    <s v="Phone"/>
    <n v="36"/>
    <n v="2"/>
  </r>
  <r>
    <n v="4"/>
    <s v="Jan"/>
    <x v="3"/>
    <s v="Email"/>
    <n v="20"/>
    <n v="4"/>
  </r>
  <r>
    <n v="5"/>
    <s v="Feb"/>
    <x v="0"/>
    <s v="Chat"/>
    <n v="8"/>
    <n v="5"/>
  </r>
  <r>
    <n v="6"/>
    <s v="Feb"/>
    <x v="1"/>
    <s v="Phone"/>
    <n v="30"/>
    <n v="3"/>
  </r>
  <r>
    <n v="7"/>
    <s v="Feb"/>
    <x v="2"/>
    <s v="Email"/>
    <n v="18"/>
    <n v="4"/>
  </r>
  <r>
    <n v="8"/>
    <s v="Feb"/>
    <x v="3"/>
    <s v="Chat"/>
    <n v="40"/>
    <n v="2"/>
  </r>
  <r>
    <n v="9"/>
    <s v="Mar"/>
    <x v="0"/>
    <s v="Phone"/>
    <n v="16"/>
    <n v="4"/>
  </r>
  <r>
    <n v="10"/>
    <s v="Mar"/>
    <x v="1"/>
    <s v="Email"/>
    <n v="22"/>
    <n v="4"/>
  </r>
  <r>
    <n v="11"/>
    <s v="Mar"/>
    <x v="2"/>
    <s v="Chat"/>
    <n v="32"/>
    <n v="3"/>
  </r>
  <r>
    <n v="12"/>
    <s v="Mar"/>
    <x v="3"/>
    <s v="Phone"/>
    <n v="2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580AE-AC9B-4D00-8B4E-9D599AC768B4}" name="PivotTable8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sortType="ascending" defaultSubtotal="0" defaultAttributeDrillState="1">
      <items count="3">
        <item x="1"/>
        <item x="0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2" subtotal="average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6]"/>
        <x15:activeTabTopLevelEntity name="[Table15]"/>
        <x15:activeTabTopLevelEntity name="[Table3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547A7-64CE-4828-9A5C-DC1620479F2E}" name="PivotTable23" cacheId="1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7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resolution_hour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D5F4D-B7CE-418A-9BE9-A2011970AB48}" name="Table1" displayName="Table1" ref="A1:F13" totalsRowShown="0">
  <autoFilter ref="A1:F13" xr:uid="{5F9D5F4D-B7CE-418A-9BE9-A2011970AB48}"/>
  <tableColumns count="6">
    <tableColumn id="1" xr3:uid="{DD3886C9-25F1-46E6-B857-C0923A3D3049}" name="ticket_id"/>
    <tableColumn id="2" xr3:uid="{2C312BD8-3871-45C6-9C64-BA313191D993}" name="month"/>
    <tableColumn id="3" xr3:uid="{6501C14F-719B-4FD8-A130-723BF04B4187}" name="team_id"/>
    <tableColumn id="4" xr3:uid="{5791B1C1-51D9-46FD-BCBA-FDD75CC2E4B0}" name="channel"/>
    <tableColumn id="5" xr3:uid="{D34794E7-8214-403D-9B58-BDEB9D6C7CCB}" name="resolution_hours"/>
    <tableColumn id="6" xr3:uid="{94C8F27D-1D37-4303-83C3-3C61A4D75B6E}" name="satisfaction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A6C6E-785F-464D-BAC9-2A8E970F89BE}" name="Table3" displayName="Table3" ref="H1:J5" totalsRowShown="0">
  <autoFilter ref="H1:J5" xr:uid="{A6EA6C6E-785F-464D-BAC9-2A8E970F89BE}"/>
  <tableColumns count="3">
    <tableColumn id="1" xr3:uid="{6BEE551A-5493-4E7B-9A94-0AA339F2E3D5}" name="team_id"/>
    <tableColumn id="2" xr3:uid="{FCC7C78D-CAE2-496D-8BBD-B2D569DB51F5}" name="team"/>
    <tableColumn id="3" xr3:uid="{427A5CFC-91E3-4012-B24A-3A3A819E099F}" name="departme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A64D-09D3-4E11-AE4F-A26C383775A8}">
  <dimension ref="A3:E7"/>
  <sheetViews>
    <sheetView workbookViewId="0">
      <selection activeCell="A3" sqref="A3"/>
    </sheetView>
  </sheetViews>
  <sheetFormatPr defaultRowHeight="14.5" x14ac:dyDescent="0.35"/>
  <cols>
    <col min="1" max="1" width="24.81640625" bestFit="1" customWidth="1"/>
    <col min="2" max="2" width="15.26953125" bestFit="1" customWidth="1"/>
    <col min="3" max="3" width="3.81640625" bestFit="1" customWidth="1"/>
    <col min="4" max="4" width="4.81640625" bestFit="1" customWidth="1"/>
    <col min="5" max="5" width="11.81640625" bestFit="1" customWidth="1"/>
    <col min="6" max="13" width="2.81640625" bestFit="1" customWidth="1"/>
    <col min="14" max="14" width="10.7265625" bestFit="1" customWidth="1"/>
  </cols>
  <sheetData>
    <row r="3" spans="1:5" x14ac:dyDescent="0.35">
      <c r="A3" s="2" t="s">
        <v>30</v>
      </c>
      <c r="B3" s="2" t="s">
        <v>29</v>
      </c>
    </row>
    <row r="4" spans="1:5" x14ac:dyDescent="0.35">
      <c r="A4" s="2" t="s">
        <v>26</v>
      </c>
      <c r="B4" t="s">
        <v>6</v>
      </c>
      <c r="C4" t="s">
        <v>14</v>
      </c>
      <c r="D4" t="s">
        <v>15</v>
      </c>
      <c r="E4" t="s">
        <v>27</v>
      </c>
    </row>
    <row r="5" spans="1:5" x14ac:dyDescent="0.35">
      <c r="A5" s="3" t="s">
        <v>19</v>
      </c>
      <c r="B5" s="4">
        <v>20</v>
      </c>
      <c r="C5" s="4">
        <v>19</v>
      </c>
      <c r="D5" s="4">
        <v>19</v>
      </c>
      <c r="E5" s="4">
        <v>19.333333333333332</v>
      </c>
    </row>
    <row r="6" spans="1:5" x14ac:dyDescent="0.35">
      <c r="A6" s="3" t="s">
        <v>22</v>
      </c>
      <c r="B6" s="4">
        <v>28</v>
      </c>
      <c r="C6" s="4">
        <v>29</v>
      </c>
      <c r="D6" s="4">
        <v>28</v>
      </c>
      <c r="E6" s="4">
        <v>28.333333333333332</v>
      </c>
    </row>
    <row r="7" spans="1:5" x14ac:dyDescent="0.35">
      <c r="A7" s="3" t="s">
        <v>27</v>
      </c>
      <c r="B7" s="4">
        <v>24</v>
      </c>
      <c r="C7" s="4">
        <v>24</v>
      </c>
      <c r="D7" s="4">
        <v>23.5</v>
      </c>
      <c r="E7" s="4">
        <v>23.833333333333332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2241-35B4-4E86-A7B7-8F7698677B10}">
  <dimension ref="A3:B7"/>
  <sheetViews>
    <sheetView workbookViewId="0">
      <selection activeCell="A3" sqref="A3"/>
    </sheetView>
  </sheetViews>
  <sheetFormatPr defaultRowHeight="14.5" x14ac:dyDescent="0.35"/>
  <cols>
    <col min="1" max="1" width="10" bestFit="1" customWidth="1"/>
    <col min="2" max="2" width="21.7265625" bestFit="1" customWidth="1"/>
  </cols>
  <sheetData>
    <row r="3" spans="1:2" x14ac:dyDescent="0.35">
      <c r="A3" s="2" t="s">
        <v>2</v>
      </c>
      <c r="B3" t="s">
        <v>28</v>
      </c>
    </row>
    <row r="4" spans="1:2" x14ac:dyDescent="0.35">
      <c r="A4" t="s">
        <v>7</v>
      </c>
      <c r="B4" s="4">
        <v>36</v>
      </c>
    </row>
    <row r="5" spans="1:2" x14ac:dyDescent="0.35">
      <c r="A5" t="s">
        <v>9</v>
      </c>
      <c r="B5" s="4">
        <v>80</v>
      </c>
    </row>
    <row r="6" spans="1:2" x14ac:dyDescent="0.35">
      <c r="A6" t="s">
        <v>11</v>
      </c>
      <c r="B6" s="4">
        <v>86</v>
      </c>
    </row>
    <row r="7" spans="1:2" x14ac:dyDescent="0.35">
      <c r="A7" t="s">
        <v>13</v>
      </c>
      <c r="B7" s="4">
        <v>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296A-DDE1-4624-9D80-8E2FF309B658}">
  <dimension ref="A1:J13"/>
  <sheetViews>
    <sheetView tabSelected="1" workbookViewId="0">
      <selection activeCell="I9" sqref="I9"/>
    </sheetView>
  </sheetViews>
  <sheetFormatPr defaultRowHeight="14.5" x14ac:dyDescent="0.35"/>
  <cols>
    <col min="1" max="1" width="9.81640625" customWidth="1"/>
    <col min="2" max="2" width="8.36328125" customWidth="1"/>
    <col min="3" max="3" width="9.6328125" customWidth="1"/>
    <col min="4" max="4" width="9.36328125" customWidth="1"/>
    <col min="5" max="5" width="17.08984375" customWidth="1"/>
    <col min="6" max="6" width="12.26953125" customWidth="1"/>
    <col min="8" max="8" width="9.6328125" customWidth="1"/>
    <col min="9" max="9" width="10.26953125" customWidth="1"/>
    <col min="10" max="10" width="12.7265625" customWidth="1"/>
    <col min="11" max="11" width="10.7265625" bestFit="1" customWidth="1"/>
    <col min="13" max="13" width="12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</v>
      </c>
      <c r="I1" t="s">
        <v>16</v>
      </c>
      <c r="J1" t="s">
        <v>17</v>
      </c>
    </row>
    <row r="2" spans="1:10" x14ac:dyDescent="0.35">
      <c r="A2">
        <v>1</v>
      </c>
      <c r="B2" t="s">
        <v>6</v>
      </c>
      <c r="C2" t="s">
        <v>7</v>
      </c>
      <c r="D2" t="s">
        <v>8</v>
      </c>
      <c r="E2">
        <v>12</v>
      </c>
      <c r="F2">
        <v>4</v>
      </c>
      <c r="H2" t="s">
        <v>7</v>
      </c>
      <c r="I2" t="s">
        <v>18</v>
      </c>
      <c r="J2" t="s">
        <v>19</v>
      </c>
    </row>
    <row r="3" spans="1:10" x14ac:dyDescent="0.35">
      <c r="A3">
        <v>2</v>
      </c>
      <c r="B3" t="s">
        <v>6</v>
      </c>
      <c r="C3" t="s">
        <v>9</v>
      </c>
      <c r="D3" t="s">
        <v>10</v>
      </c>
      <c r="E3">
        <v>28</v>
      </c>
      <c r="F3">
        <v>3</v>
      </c>
      <c r="H3" t="s">
        <v>9</v>
      </c>
      <c r="I3" t="s">
        <v>20</v>
      </c>
      <c r="J3" t="s">
        <v>19</v>
      </c>
    </row>
    <row r="4" spans="1:10" x14ac:dyDescent="0.35">
      <c r="A4">
        <v>3</v>
      </c>
      <c r="B4" t="s">
        <v>6</v>
      </c>
      <c r="C4" t="s">
        <v>11</v>
      </c>
      <c r="D4" t="s">
        <v>12</v>
      </c>
      <c r="E4">
        <v>36</v>
      </c>
      <c r="F4">
        <v>2</v>
      </c>
      <c r="H4" t="s">
        <v>11</v>
      </c>
      <c r="I4" t="s">
        <v>21</v>
      </c>
      <c r="J4" t="s">
        <v>22</v>
      </c>
    </row>
    <row r="5" spans="1:10" x14ac:dyDescent="0.35">
      <c r="A5">
        <v>4</v>
      </c>
      <c r="B5" t="s">
        <v>6</v>
      </c>
      <c r="C5" t="s">
        <v>13</v>
      </c>
      <c r="D5" t="s">
        <v>8</v>
      </c>
      <c r="E5">
        <v>20</v>
      </c>
      <c r="F5">
        <v>4</v>
      </c>
      <c r="H5" t="s">
        <v>13</v>
      </c>
      <c r="I5" t="s">
        <v>23</v>
      </c>
      <c r="J5" t="s">
        <v>22</v>
      </c>
    </row>
    <row r="6" spans="1:10" x14ac:dyDescent="0.35">
      <c r="A6">
        <v>5</v>
      </c>
      <c r="B6" t="s">
        <v>14</v>
      </c>
      <c r="C6" t="s">
        <v>7</v>
      </c>
      <c r="D6" t="s">
        <v>10</v>
      </c>
      <c r="E6">
        <v>8</v>
      </c>
      <c r="F6">
        <v>5</v>
      </c>
    </row>
    <row r="7" spans="1:10" x14ac:dyDescent="0.35">
      <c r="A7">
        <v>6</v>
      </c>
      <c r="B7" t="s">
        <v>14</v>
      </c>
      <c r="C7" t="s">
        <v>9</v>
      </c>
      <c r="D7" t="s">
        <v>12</v>
      </c>
      <c r="E7">
        <v>30</v>
      </c>
      <c r="F7">
        <v>3</v>
      </c>
    </row>
    <row r="8" spans="1:10" x14ac:dyDescent="0.35">
      <c r="A8">
        <v>7</v>
      </c>
      <c r="B8" t="s">
        <v>14</v>
      </c>
      <c r="C8" t="s">
        <v>11</v>
      </c>
      <c r="D8" t="s">
        <v>8</v>
      </c>
      <c r="E8">
        <v>18</v>
      </c>
      <c r="F8">
        <v>4</v>
      </c>
    </row>
    <row r="9" spans="1:10" x14ac:dyDescent="0.35">
      <c r="A9">
        <v>8</v>
      </c>
      <c r="B9" t="s">
        <v>14</v>
      </c>
      <c r="C9" t="s">
        <v>13</v>
      </c>
      <c r="D9" t="s">
        <v>10</v>
      </c>
      <c r="E9">
        <v>40</v>
      </c>
      <c r="F9">
        <v>2</v>
      </c>
    </row>
    <row r="10" spans="1:10" x14ac:dyDescent="0.35">
      <c r="A10">
        <v>9</v>
      </c>
      <c r="B10" t="s">
        <v>15</v>
      </c>
      <c r="C10" t="s">
        <v>7</v>
      </c>
      <c r="D10" t="s">
        <v>12</v>
      </c>
      <c r="E10">
        <v>16</v>
      </c>
      <c r="F10">
        <v>4</v>
      </c>
    </row>
    <row r="11" spans="1:10" x14ac:dyDescent="0.35">
      <c r="A11">
        <v>10</v>
      </c>
      <c r="B11" t="s">
        <v>15</v>
      </c>
      <c r="C11" t="s">
        <v>9</v>
      </c>
      <c r="D11" t="s">
        <v>8</v>
      </c>
      <c r="E11">
        <v>22</v>
      </c>
      <c r="F11">
        <v>4</v>
      </c>
    </row>
    <row r="12" spans="1:10" x14ac:dyDescent="0.35">
      <c r="A12">
        <v>11</v>
      </c>
      <c r="B12" t="s">
        <v>15</v>
      </c>
      <c r="C12" t="s">
        <v>11</v>
      </c>
      <c r="D12" t="s">
        <v>10</v>
      </c>
      <c r="E12">
        <v>32</v>
      </c>
      <c r="F12">
        <v>3</v>
      </c>
    </row>
    <row r="13" spans="1:10" x14ac:dyDescent="0.35">
      <c r="A13">
        <v>12</v>
      </c>
      <c r="B13" t="s">
        <v>15</v>
      </c>
      <c r="C13" t="s">
        <v>13</v>
      </c>
      <c r="D13" t="s">
        <v>12</v>
      </c>
      <c r="E13">
        <v>24</v>
      </c>
      <c r="F13">
        <v>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492F-D51A-4224-8B03-37C5B06892E4}">
  <dimension ref="A1:H13"/>
  <sheetViews>
    <sheetView workbookViewId="0">
      <selection activeCell="E4" sqref="E4"/>
    </sheetView>
  </sheetViews>
  <sheetFormatPr defaultRowHeight="14.5" x14ac:dyDescent="0.35"/>
  <cols>
    <col min="1" max="1" width="11" bestFit="1" customWidth="1"/>
    <col min="2" max="2" width="7.6328125" bestFit="1" customWidth="1"/>
    <col min="3" max="3" width="10.54296875" bestFit="1" customWidth="1"/>
  </cols>
  <sheetData>
    <row r="1" spans="1:8" x14ac:dyDescent="0.35">
      <c r="A1" s="1" t="s">
        <v>25</v>
      </c>
      <c r="B1" s="5" t="s">
        <v>2</v>
      </c>
      <c r="C1" s="5" t="s">
        <v>24</v>
      </c>
      <c r="G1" s="5" t="s">
        <v>3</v>
      </c>
      <c r="H1" s="5" t="s">
        <v>24</v>
      </c>
    </row>
    <row r="2" spans="1:8" x14ac:dyDescent="0.35">
      <c r="B2" s="8" t="s">
        <v>7</v>
      </c>
      <c r="C2" s="8" cm="1">
        <f t="array" ref="C2:C13">IF(datasetB!E2:E13&gt;24,1,0)</f>
        <v>0</v>
      </c>
      <c r="D2" s="1"/>
      <c r="G2" s="6" t="s">
        <v>8</v>
      </c>
      <c r="H2" s="6" cm="1">
        <f t="array" ref="H2:H13">IF(datasetB!E2:E13&gt;24,1,0)</f>
        <v>0</v>
      </c>
    </row>
    <row r="3" spans="1:8" x14ac:dyDescent="0.35">
      <c r="B3" s="8" t="s">
        <v>9</v>
      </c>
      <c r="C3" s="8">
        <v>1</v>
      </c>
      <c r="G3" s="6" t="s">
        <v>10</v>
      </c>
      <c r="H3" s="6">
        <v>1</v>
      </c>
    </row>
    <row r="4" spans="1:8" x14ac:dyDescent="0.35">
      <c r="B4" s="8" t="s">
        <v>11</v>
      </c>
      <c r="C4" s="8">
        <v>1</v>
      </c>
      <c r="G4" s="6" t="s">
        <v>12</v>
      </c>
      <c r="H4" s="6">
        <v>1</v>
      </c>
    </row>
    <row r="5" spans="1:8" x14ac:dyDescent="0.35">
      <c r="B5" s="8" t="s">
        <v>13</v>
      </c>
      <c r="C5" s="8">
        <v>0</v>
      </c>
      <c r="G5" s="6" t="s">
        <v>8</v>
      </c>
      <c r="H5" s="6">
        <v>0</v>
      </c>
    </row>
    <row r="6" spans="1:8" x14ac:dyDescent="0.35">
      <c r="B6" s="8" t="s">
        <v>7</v>
      </c>
      <c r="C6" s="8">
        <v>0</v>
      </c>
      <c r="G6" s="6" t="s">
        <v>10</v>
      </c>
      <c r="H6" s="6">
        <v>0</v>
      </c>
    </row>
    <row r="7" spans="1:8" x14ac:dyDescent="0.35">
      <c r="B7" s="8" t="s">
        <v>9</v>
      </c>
      <c r="C7" s="8">
        <v>1</v>
      </c>
      <c r="G7" s="6" t="s">
        <v>12</v>
      </c>
      <c r="H7" s="6">
        <v>1</v>
      </c>
    </row>
    <row r="8" spans="1:8" x14ac:dyDescent="0.35">
      <c r="B8" s="8" t="s">
        <v>11</v>
      </c>
      <c r="C8" s="8">
        <v>0</v>
      </c>
      <c r="G8" s="6" t="s">
        <v>8</v>
      </c>
      <c r="H8" s="6">
        <v>0</v>
      </c>
    </row>
    <row r="9" spans="1:8" x14ac:dyDescent="0.35">
      <c r="B9" s="8" t="s">
        <v>13</v>
      </c>
      <c r="C9" s="8">
        <v>1</v>
      </c>
      <c r="G9" s="6" t="s">
        <v>10</v>
      </c>
      <c r="H9" s="6">
        <v>1</v>
      </c>
    </row>
    <row r="10" spans="1:8" x14ac:dyDescent="0.35">
      <c r="B10" s="8" t="s">
        <v>7</v>
      </c>
      <c r="C10" s="8">
        <v>0</v>
      </c>
      <c r="G10" s="6" t="s">
        <v>12</v>
      </c>
      <c r="H10" s="6">
        <v>0</v>
      </c>
    </row>
    <row r="11" spans="1:8" x14ac:dyDescent="0.35">
      <c r="B11" s="8" t="s">
        <v>9</v>
      </c>
      <c r="C11" s="8">
        <v>0</v>
      </c>
      <c r="G11" s="6" t="s">
        <v>8</v>
      </c>
      <c r="H11" s="6">
        <v>0</v>
      </c>
    </row>
    <row r="12" spans="1:8" x14ac:dyDescent="0.35">
      <c r="B12" s="8" t="s">
        <v>11</v>
      </c>
      <c r="C12" s="8">
        <v>1</v>
      </c>
      <c r="G12" s="6" t="s">
        <v>10</v>
      </c>
      <c r="H12" s="6">
        <v>1</v>
      </c>
    </row>
    <row r="13" spans="1:8" x14ac:dyDescent="0.35">
      <c r="B13" s="9" t="s">
        <v>13</v>
      </c>
      <c r="C13" s="9">
        <v>0</v>
      </c>
      <c r="G13" s="7" t="s">
        <v>12</v>
      </c>
      <c r="H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Sheet6</vt:lpstr>
      <vt:lpstr>Sheet7</vt:lpstr>
      <vt:lpstr>datasetB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MANT_0957</dc:creator>
  <cp:lastModifiedBy>Mant Sherasiya</cp:lastModifiedBy>
  <dcterms:created xsi:type="dcterms:W3CDTF">2026-09-26T09:43:00Z</dcterms:created>
  <dcterms:modified xsi:type="dcterms:W3CDTF">2026-09-26T11:48:18Z</dcterms:modified>
</cp:coreProperties>
</file>